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Rodrigo Russi\Cursos\Bootcamp Santander - Excel com Inteligência Artificial\Atividades Excel\Criando um Dashboard de Vendas do Xbox com Excel\"/>
    </mc:Choice>
  </mc:AlternateContent>
  <xr:revisionPtr revIDLastSave="0" documentId="8_{9AD5D23C-D0FA-4311-A098-C254B043D1CA}" xr6:coauthVersionLast="47" xr6:coauthVersionMax="47" xr10:uidLastSave="{00000000-0000-0000-0000-000000000000}"/>
  <bookViews>
    <workbookView xWindow="10020" yWindow="1050" windowWidth="18840" windowHeight="13845" tabRatio="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3" l="1"/>
  <c r="E26" i="3"/>
</calcChain>
</file>

<file path=xl/sharedStrings.xml><?xml version="1.0" encoding="utf-8"?>
<sst xmlns="http://schemas.openxmlformats.org/spreadsheetml/2006/main" count="2203" uniqueCount="324">
  <si>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</si>
  <si>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</si>
  <si>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</si>
  <si>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</si>
  <si>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</si>
  <si>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</si>
  <si>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</si>
  <si>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</si>
  <si>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</si>
  <si>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</si>
  <si>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</si>
  <si>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</si>
  <si>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</si>
  <si>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</si>
  <si>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</si>
  <si>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</si>
  <si>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</si>
  <si>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</si>
  <si>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</si>
  <si>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</si>
  <si>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</si>
  <si>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</si>
  <si>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</si>
  <si>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</si>
  <si>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</si>
  <si>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</si>
  <si>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</si>
  <si>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</si>
  <si>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</si>
  <si>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</si>
  <si>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</si>
  <si>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</si>
  <si>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</si>
  <si>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</si>
  <si>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</si>
  <si>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</si>
  <si>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</si>
  <si>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</si>
  <si>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</si>
  <si>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</si>
  <si>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</si>
  <si>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</si>
  <si>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</si>
  <si>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</si>
  <si>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</si>
  <si>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</si>
  <si>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</si>
  <si>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</si>
  <si>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</si>
  <si>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</si>
  <si>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</si>
  <si>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</si>
  <si>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</si>
  <si>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</si>
  <si>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</si>
  <si>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</si>
  <si>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</si>
  <si>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</si>
  <si>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</si>
  <si>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</si>
  <si>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</si>
  <si>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</si>
  <si>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</si>
  <si>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</si>
  <si>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</si>
  <si>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</si>
  <si>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</si>
  <si>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</si>
  <si>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</si>
  <si>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</si>
  <si>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</si>
  <si>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</si>
  <si>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</si>
  <si>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</si>
  <si>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</si>
  <si>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</si>
  <si>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</si>
  <si>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</si>
  <si>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</si>
  <si>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</si>
  <si>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</si>
  <si>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</si>
  <si>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</si>
  <si>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</si>
  <si>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</si>
  <si>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</si>
  <si>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</si>
  <si>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</si>
  <si>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</si>
  <si>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</si>
  <si>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</si>
  <si>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</si>
  <si>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</si>
  <si>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</si>
  <si>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</si>
  <si>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</si>
  <si>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</si>
  <si>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</si>
  <si>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</si>
  <si>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</si>
  <si>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</si>
  <si>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</si>
  <si>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</si>
  <si>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</si>
  <si>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</si>
  <si>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</si>
  <si>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</si>
  <si>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</si>
  <si>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</si>
  <si>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</si>
  <si>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</si>
  <si>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</si>
  <si>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</si>
  <si>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</si>
  <si>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</si>
  <si>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</si>
  <si>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</si>
  <si>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</si>
  <si>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</si>
  <si>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</si>
  <si>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</si>
  <si>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</si>
  <si>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</si>
  <si>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</si>
  <si>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</si>
  <si>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</si>
  <si>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</si>
  <si>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</si>
  <si>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</si>
  <si>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</si>
  <si>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</si>
  <si>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</si>
  <si>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</si>
  <si>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</si>
  <si>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</si>
  <si>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</si>
  <si>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</si>
  <si>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</si>
  <si>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</si>
  <si>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</si>
  <si>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</si>
  <si>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</si>
  <si>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</si>
  <si>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</si>
  <si>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</si>
  <si>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</si>
  <si>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</si>
  <si>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</si>
  <si>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</si>
  <si>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</si>
  <si>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</si>
  <si>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</si>
  <si>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</si>
  <si>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</si>
  <si>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</si>
  <si>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</si>
  <si>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</si>
  <si>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</si>
  <si>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</si>
  <si>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</si>
  <si>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</si>
  <si>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</si>
  <si>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</si>
  <si>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</si>
  <si>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</si>
  <si>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</si>
  <si>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</si>
  <si>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</si>
  <si>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</si>
  <si>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</si>
  <si>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</si>
  <si>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</si>
  <si>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</si>
  <si>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</si>
  <si>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</si>
  <si>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</si>
  <si>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</si>
  <si>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</si>
  <si>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</si>
  <si>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</si>
  <si>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</si>
  <si>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</si>
  <si>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</si>
  <si>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</si>
  <si>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</si>
  <si>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</si>
  <si>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</si>
  <si>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</si>
  <si>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</si>
  <si>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</si>
  <si>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</si>
  <si>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</si>
  <si>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</si>
  <si>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</si>
  <si>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</si>
  <si>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</si>
  <si>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</si>
  <si>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</si>
  <si>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</si>
  <si>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</si>
  <si>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</si>
  <si>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</si>
  <si>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</si>
  <si>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</si>
  <si>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</si>
  <si>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</si>
  <si>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</si>
  <si>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</si>
  <si>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</si>
  <si>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</si>
  <si>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</si>
  <si>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</si>
  <si>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</si>
  <si>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</si>
  <si>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</si>
  <si>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</si>
  <si>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</si>
  <si>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</si>
  <si>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</si>
  <si>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</si>
  <si>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</si>
  <si>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</si>
  <si>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</si>
  <si>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</si>
  <si>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</si>
  <si>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</si>
  <si>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</si>
  <si>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</si>
  <si>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</si>
  <si>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</si>
  <si>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</si>
  <si>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</si>
  <si>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</si>
  <si>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</si>
  <si>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</si>
  <si>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</si>
  <si>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</si>
  <si>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</si>
  <si>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</si>
  <si>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</si>
  <si>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</si>
  <si>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</si>
  <si>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</si>
  <si>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</si>
  <si>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</si>
  <si>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</si>
  <si>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</si>
  <si>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</si>
  <si>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</si>
  <si>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</si>
  <si>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</si>
  <si>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</si>
  <si>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</si>
  <si>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</si>
  <si>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</si>
  <si>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</si>
  <si>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</si>
  <si>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</si>
  <si>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</si>
  <si>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</si>
  <si>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</si>
  <si>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</si>
  <si>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</si>
  <si>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</si>
  <si>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</si>
  <si>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</si>
  <si>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</si>
  <si>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</si>
  <si>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</si>
  <si>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</si>
  <si>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</si>
  <si>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</si>
  <si>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</si>
  <si>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</si>
  <si>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</si>
  <si>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</si>
  <si>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</si>
  <si>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</si>
  <si>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</si>
  <si>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</si>
  <si>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</si>
  <si>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</si>
  <si>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</si>
  <si>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</si>
  <si>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</si>
  <si>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</si>
  <si>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</si>
  <si>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</si>
  <si>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</si>
  <si>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</si>
  <si>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</si>
  <si>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</si>
  <si>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</si>
  <si>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</si>
  <si>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</si>
  <si>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</si>
  <si>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</si>
  <si>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</si>
  <si>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</si>
  <si>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</si>
  <si>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</si>
  <si>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</si>
  <si>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</si>
  <si>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</si>
  <si>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</si>
  <si>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</si>
  <si>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</si>
  <si>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</si>
  <si>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</si>
  <si>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</si>
  <si>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</si>
  <si>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</si>
  <si>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</si>
  <si>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contendo </t>
    </r>
    <r>
      <rPr>
        <u/>
        <sz val="11"/>
        <color theme="1"/>
        <rFont val="Aptos Narrow"/>
        <family val="2"/>
        <scheme val="minor"/>
      </rPr>
      <t>todas as assinaturas agregadas</t>
    </r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</si>
  <si>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</si>
  <si>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</si>
  <si>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</si>
  <si>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 xml:space="preserve"> separados por </t>
    </r>
    <r>
      <rPr>
        <u/>
        <sz val="11"/>
        <color theme="1"/>
        <rFont val="Aptos Narrow"/>
        <family val="2"/>
        <scheme val="minor"/>
      </rPr>
      <t>auto renovação ou não são auto renovação</t>
    </r>
  </si>
  <si>
    <t>XBOX GAME PASS SUBSCRIPTIONS SALES</t>
  </si>
  <si>
    <t>Pergunta Negocio 3 - Total de vendas da assinatura do EA Play</t>
  </si>
  <si>
    <t>Soma de EA Play Season Pass</t>
  </si>
  <si>
    <t>Pergunta Negocio 3 - Total de vendas da assinatura do Minecraft Season Pass</t>
  </si>
  <si>
    <t>Detalhes do Soma de EA Play Season Pass - Plan: Standard, Subscription Type: Quarterly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</si>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</sst>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44" fontId="0" fillId="0" borderId="0" xfId="2" applyFont="1"/>
    <xf numFmtId="14" fontId="0" fillId="0" borderId="0" xfId="0" applyNumberFormat="1"/>
    <xf numFmtId="0" fontId="3" fillId="0" borderId="0" xfId="0" applyFont="1"/>
    <xf numFmtId="0" fontId="5" fillId="0" borderId="2" xfId="1" applyFont="1" applyBorder="1"/>
    <xf numFmtId="0" fontId="0" fillId="0" borderId="2" xfId="0" applyBorder="1"/>
    <xf numFmtId="0" fontId="5" fillId="0" borderId="2" xfId="1" applyFont="1" applyBorder="1" applyAlignment="1">
      <alignment horizontal="left" indent="1"/>
    </xf>
    <xf numFmtId="0" fontId="5" fillId="0" borderId="2" xfId="1" applyFont="1" applyBorder="1" applyAlignment="1">
      <alignment horizontal="left" indent="5"/>
    </xf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 val="0"/>
        <i val="0"/>
        <color theme="0"/>
        <name val="Segoi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5AF5AE6-F2C0-45F4-827A-1174DA31CC25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4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dashboad de vendas.xlsx]C̳álculos!tbl_annual_total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0-4B1B-A58E-633FA83FE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0079519"/>
        <c:axId val="320087199"/>
      </c:barChart>
      <c:catAx>
        <c:axId val="32007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0087199"/>
        <c:crosses val="autoZero"/>
        <c:auto val="1"/>
        <c:lblAlgn val="ctr"/>
        <c:lblOffset val="100"/>
        <c:noMultiLvlLbl val="0"/>
      </c:catAx>
      <c:valAx>
        <c:axId val="3200871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2007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80960</xdr:colOff>
      <xdr:row>0</xdr:row>
      <xdr:rowOff>95249</xdr:rowOff>
    </xdr:from>
    <xdr:to>
      <xdr:col>2</xdr:col>
      <xdr:colOff>461961</xdr:colOff>
      <xdr:row>2</xdr:row>
      <xdr:rowOff>321466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F26C09-0D19-4EB3-B43C-2BE1A92F0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r="71947" b="10314"/>
        <a:stretch>
          <a:fillRect/>
        </a:stretch>
      </xdr:blipFill>
      <xdr:spPr>
        <a:xfrm>
          <a:off x="2057398" y="95249"/>
          <a:ext cx="619126" cy="916780"/>
        </a:xfrm>
        <a:prstGeom prst="rect">
          <a:avLst/>
        </a:prstGeom>
      </xdr:spPr>
    </xdr:pic>
    <xdr:clientData/>
  </xdr:twoCellAnchor>
  <xdr:twoCellAnchor editAs="absolute">
    <xdr:from>
      <xdr:col>0</xdr:col>
      <xdr:colOff>77390</xdr:colOff>
      <xdr:row>6</xdr:row>
      <xdr:rowOff>104773</xdr:rowOff>
    </xdr:from>
    <xdr:to>
      <xdr:col>0</xdr:col>
      <xdr:colOff>1906190</xdr:colOff>
      <xdr:row>19</xdr:row>
      <xdr:rowOff>140492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D02683F-40FA-444E-95AF-B786AC7E2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390" y="162877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166688</xdr:colOff>
      <xdr:row>6</xdr:row>
      <xdr:rowOff>4761</xdr:rowOff>
    </xdr:from>
    <xdr:to>
      <xdr:col>10</xdr:col>
      <xdr:colOff>142875</xdr:colOff>
      <xdr:row>14</xdr:row>
      <xdr:rowOff>64292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F9BA05E-24A9-4D9B-41A6-C42E2BC0BFEE}"/>
            </a:ext>
          </a:extLst>
        </xdr:cNvPr>
        <xdr:cNvGrpSpPr/>
      </xdr:nvGrpSpPr>
      <xdr:grpSpPr>
        <a:xfrm>
          <a:off x="2143126" y="1528761"/>
          <a:ext cx="5072062" cy="1738312"/>
          <a:chOff x="2143126" y="1524000"/>
          <a:chExt cx="5072062" cy="1738312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F2F3A738-E855-9910-C5AA-D055CCB9BEA5}"/>
              </a:ext>
            </a:extLst>
          </xdr:cNvPr>
          <xdr:cNvSpPr/>
        </xdr:nvSpPr>
        <xdr:spPr>
          <a:xfrm>
            <a:off x="2143126" y="1524000"/>
            <a:ext cx="5072062" cy="1738312"/>
          </a:xfrm>
          <a:prstGeom prst="roundRect">
            <a:avLst>
              <a:gd name="adj" fmla="val 8448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AE6B1"/>
              </a:solidFill>
            </a:endParaRPr>
          </a:p>
        </xdr:txBody>
      </xdr:sp>
      <xdr:sp macro="" textlink="C̳álculos!E2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480E439-A196-4B3A-B1A2-97953A98B02B}"/>
              </a:ext>
            </a:extLst>
          </xdr:cNvPr>
          <xdr:cNvSpPr/>
        </xdr:nvSpPr>
        <xdr:spPr>
          <a:xfrm>
            <a:off x="2834879" y="1884203"/>
            <a:ext cx="3736180" cy="1280474"/>
          </a:xfrm>
          <a:prstGeom prst="roundRect">
            <a:avLst>
              <a:gd name="adj" fmla="val 9228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ABB9101-FEC8-48B3-8B17-BC9E716B71DD}" type="TxLink">
              <a:rPr lang="en-US" sz="32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3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187224F8-45CE-46E3-8632-FE8E2CEDF5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3158" y="1914840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483049D1-6678-0B49-F18F-F0077CB5F30B}"/>
              </a:ext>
            </a:extLst>
          </xdr:cNvPr>
          <xdr:cNvSpPr/>
        </xdr:nvSpPr>
        <xdr:spPr>
          <a:xfrm>
            <a:off x="2155031" y="1535907"/>
            <a:ext cx="5060156" cy="48815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</a:p>
          <a:p>
            <a:pPr algn="ctr"/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330995</xdr:colOff>
      <xdr:row>6</xdr:row>
      <xdr:rowOff>4761</xdr:rowOff>
    </xdr:from>
    <xdr:to>
      <xdr:col>18</xdr:col>
      <xdr:colOff>595312</xdr:colOff>
      <xdr:row>14</xdr:row>
      <xdr:rowOff>64292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CBC50AB6-DFDF-3936-DE66-AA1E13600ACF}"/>
            </a:ext>
          </a:extLst>
        </xdr:cNvPr>
        <xdr:cNvGrpSpPr/>
      </xdr:nvGrpSpPr>
      <xdr:grpSpPr>
        <a:xfrm>
          <a:off x="7403308" y="1528761"/>
          <a:ext cx="4955379" cy="1738312"/>
          <a:chOff x="7474746" y="1552573"/>
          <a:chExt cx="5072062" cy="1738312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A1949F03-858B-406D-B35C-5704EAC7F81E}"/>
              </a:ext>
            </a:extLst>
          </xdr:cNvPr>
          <xdr:cNvGrpSpPr/>
        </xdr:nvGrpSpPr>
        <xdr:grpSpPr>
          <a:xfrm>
            <a:off x="7474746" y="1552573"/>
            <a:ext cx="5072062" cy="1738312"/>
            <a:chOff x="2143126" y="1524000"/>
            <a:chExt cx="5072062" cy="1738312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528CEAD4-DE3F-5042-A4F2-8961DC001189}"/>
                </a:ext>
              </a:extLst>
            </xdr:cNvPr>
            <xdr:cNvSpPr/>
          </xdr:nvSpPr>
          <xdr:spPr>
            <a:xfrm>
              <a:off x="2143126" y="1524000"/>
              <a:ext cx="5072062" cy="1738312"/>
            </a:xfrm>
            <a:prstGeom prst="roundRect">
              <a:avLst>
                <a:gd name="adj" fmla="val 8448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AE6B1"/>
                </a:solidFill>
              </a:endParaRPr>
            </a:p>
          </xdr:txBody>
        </xdr:sp>
        <xdr:sp macro="" textlink="C̳álculos!E38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DEA6F991-B39A-0571-8F4C-0F3743D2470E}"/>
                </a:ext>
              </a:extLst>
            </xdr:cNvPr>
            <xdr:cNvSpPr/>
          </xdr:nvSpPr>
          <xdr:spPr>
            <a:xfrm>
              <a:off x="2834879" y="1884203"/>
              <a:ext cx="3736180" cy="1280474"/>
            </a:xfrm>
            <a:prstGeom prst="roundRect">
              <a:avLst>
                <a:gd name="adj" fmla="val 9228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07F08FC-9998-4727-9283-035AF593BF93}" type="TxLink">
                <a:rPr lang="en-US" sz="32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R$ 940,00 </a:t>
              </a:fld>
              <a:endParaRPr lang="pt-BR" sz="32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B319F8A7-23F9-03F3-A101-B24ABE30D34A}"/>
                </a:ext>
              </a:extLst>
            </xdr:cNvPr>
            <xdr:cNvSpPr/>
          </xdr:nvSpPr>
          <xdr:spPr>
            <a:xfrm>
              <a:off x="2155031" y="1535907"/>
              <a:ext cx="5060156" cy="48815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  <a:p>
              <a:pPr algn="ctr"/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42ED024-5B7B-4E7D-96B9-75AC20AB1B53}"/>
              </a:ext>
            </a:extLst>
          </xdr:cNvPr>
          <xdr:cNvGrpSpPr/>
        </xdr:nvGrpSpPr>
        <xdr:grpSpPr>
          <a:xfrm>
            <a:off x="7641432" y="2219325"/>
            <a:ext cx="1073943" cy="521542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A90F451E-2F38-C34A-1CC9-994E10F96C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AC190707-1B05-69EB-2623-11E600E0E6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190501</xdr:colOff>
      <xdr:row>14</xdr:row>
      <xdr:rowOff>130968</xdr:rowOff>
    </xdr:from>
    <xdr:to>
      <xdr:col>18</xdr:col>
      <xdr:colOff>595312</xdr:colOff>
      <xdr:row>35</xdr:row>
      <xdr:rowOff>23812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ECF14ED5-691B-FBEA-A48D-A821EE0F8FB7}"/>
            </a:ext>
          </a:extLst>
        </xdr:cNvPr>
        <xdr:cNvGrpSpPr/>
      </xdr:nvGrpSpPr>
      <xdr:grpSpPr>
        <a:xfrm>
          <a:off x="2166939" y="3333749"/>
          <a:ext cx="10191748" cy="3893344"/>
          <a:chOff x="2262187" y="3333749"/>
          <a:chExt cx="10036968" cy="3893344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41FF512-03B2-F9DE-AD3B-941A1B842D3A}"/>
              </a:ext>
            </a:extLst>
          </xdr:cNvPr>
          <xdr:cNvGrpSpPr/>
        </xdr:nvGrpSpPr>
        <xdr:grpSpPr>
          <a:xfrm>
            <a:off x="2262187" y="3333749"/>
            <a:ext cx="10013157" cy="3893344"/>
            <a:chOff x="3881437" y="1345406"/>
            <a:chExt cx="5762625" cy="315515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691B49C-4348-BF84-CA74-1B2AA0C46785}"/>
                </a:ext>
              </a:extLst>
            </xdr:cNvPr>
            <xdr:cNvSpPr/>
          </xdr:nvSpPr>
          <xdr:spPr>
            <a:xfrm>
              <a:off x="3881437" y="1345406"/>
              <a:ext cx="5762625" cy="3155156"/>
            </a:xfrm>
            <a:prstGeom prst="roundRect">
              <a:avLst>
                <a:gd name="adj" fmla="val 176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FF15AEA-B217-4551-A051-307265239D3E}"/>
                </a:ext>
              </a:extLst>
            </xdr:cNvPr>
            <xdr:cNvGraphicFramePr>
              <a:graphicFrameLocks/>
            </xdr:cNvGraphicFramePr>
          </xdr:nvGraphicFramePr>
          <xdr:xfrm>
            <a:off x="4435535" y="1802641"/>
            <a:ext cx="4306034" cy="25836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1718DD4B-3930-486E-A2E7-3F9B8FDF03BF}"/>
              </a:ext>
            </a:extLst>
          </xdr:cNvPr>
          <xdr:cNvSpPr/>
        </xdr:nvSpPr>
        <xdr:spPr>
          <a:xfrm>
            <a:off x="2274094" y="3345656"/>
            <a:ext cx="10025061" cy="48815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</a:p>
          <a:p>
            <a:pPr algn="ctr"/>
            <a:endParaRPr lang="pt-BR" sz="1100" b="1" baseline="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644128</xdr:colOff>
      <xdr:row>1</xdr:row>
      <xdr:rowOff>47625</xdr:rowOff>
    </xdr:from>
    <xdr:to>
      <xdr:col>0</xdr:col>
      <xdr:colOff>1339453</xdr:colOff>
      <xdr:row>2</xdr:row>
      <xdr:rowOff>242887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7885E2B9-B845-4BDA-A4F2-38E2BAE6E82D}"/>
            </a:ext>
          </a:extLst>
        </xdr:cNvPr>
        <xdr:cNvSpPr/>
      </xdr:nvSpPr>
      <xdr:spPr>
        <a:xfrm>
          <a:off x="644128" y="23812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86915</xdr:colOff>
      <xdr:row>2</xdr:row>
      <xdr:rowOff>404812</xdr:rowOff>
    </xdr:from>
    <xdr:to>
      <xdr:col>0</xdr:col>
      <xdr:colOff>1896665</xdr:colOff>
      <xdr:row>5</xdr:row>
      <xdr:rowOff>71438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B957A09B-DA93-80E7-97B5-5781C4238F11}"/>
            </a:ext>
          </a:extLst>
        </xdr:cNvPr>
        <xdr:cNvSpPr/>
      </xdr:nvSpPr>
      <xdr:spPr>
        <a:xfrm>
          <a:off x="86915" y="1095375"/>
          <a:ext cx="1809750" cy="36909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 VINDA LIANA</a:t>
          </a:r>
        </a:p>
      </xdr:txBody>
    </xdr:sp>
    <xdr:clientData/>
  </xdr:twoCellAnchor>
  <xdr:twoCellAnchor>
    <xdr:from>
      <xdr:col>1</xdr:col>
      <xdr:colOff>214311</xdr:colOff>
      <xdr:row>3</xdr:row>
      <xdr:rowOff>11907</xdr:rowOff>
    </xdr:from>
    <xdr:to>
      <xdr:col>12</xdr:col>
      <xdr:colOff>190499</xdr:colOff>
      <xdr:row>4</xdr:row>
      <xdr:rowOff>83345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24CE4668-27DC-09AE-30B1-595A37C59538}"/>
            </a:ext>
          </a:extLst>
        </xdr:cNvPr>
        <xdr:cNvSpPr txBox="1">
          <a:spLocks noChangeArrowheads="1"/>
        </xdr:cNvSpPr>
      </xdr:nvSpPr>
      <xdr:spPr bwMode="auto">
        <a:xfrm>
          <a:off x="2190749" y="1202532"/>
          <a:ext cx="6119813" cy="178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chemeClr val="bg1">
                  <a:lumMod val="50000"/>
                </a:schemeClr>
              </a:solidFill>
              <a:latin typeface="Aptos Narrow"/>
            </a:rPr>
            <a:t>CALCULATION PERIOD: 01/01/2024 - 31/12/2024 | UPDATE DATE: 25/12/2024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Russi" refreshedDate="46015.677674074075" createdVersion="8" refreshedVersion="8" minRefreshableVersion="3" recordCount="295" xr:uid="{35FE015C-9487-45A7-BB24-F79935B40F9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232816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8ADEB-BAC9-49C6-8964-7977E56CF4C2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4:C3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B7F02-F06F-4E93-B46E-4AA7D482D469}" name="tbl_easasonpass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3:C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862E1-6578-49B2-B64C-C4AD7DB07E43}" name="tbl_annual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2:C15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25BD641-A790-4F37-B1C1-B2978F0FE309}" sourceName="Subscription Type">
  <pivotTables>
    <pivotTable tabId="3" name="tbl_annual_total"/>
    <pivotTable tabId="3" name="tbl_easasonpass_total"/>
    <pivotTable tabId="3" name="Tabela dinâmica3"/>
  </pivotTables>
  <data>
    <tabular pivotCacheId="52328163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29B6FAE-662C-4D4F-A9D0-FF5163FA427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82BAE-9AF1-4CA0-BF7D-38CB4607FD5D}" name="Tabela2" displayName="Tabela2" ref="A3:M27" totalsRowShown="0">
  <autoFilter ref="A3:M27" xr:uid="{DE782BAE-9AF1-4CA0-BF7D-38CB4607FD5D}"/>
  <tableColumns count="13">
    <tableColumn id="1" xr3:uid="{2F3A153C-1E10-480D-9DF0-BC3106466005}" name="Subscriber ID"/>
    <tableColumn id="2" xr3:uid="{F5B74C90-8794-4777-AB4E-FA328B2607C6}" name="Name"/>
    <tableColumn id="3" xr3:uid="{0A1C2408-A8A4-4A58-98DF-1CD08CA9A313}" name="Plan"/>
    <tableColumn id="4" xr3:uid="{8B3D5C76-25E3-41AF-8A02-7D857F598E16}" name="Start Date" dataDxfId="2"/>
    <tableColumn id="5" xr3:uid="{F28575B5-CA2A-4330-B552-65DC5492BBC5}" name="Auto Renewal"/>
    <tableColumn id="6" xr3:uid="{7ABBE4D4-8AF4-43D1-B7DB-7D624B6B672C}" name="Subscription Price"/>
    <tableColumn id="7" xr3:uid="{9EE9469D-87DB-4D28-A336-C5D6C6B24D25}" name="Subscription Type"/>
    <tableColumn id="8" xr3:uid="{C003E7DF-0815-40B7-8A77-A161115FEDCE}" name="EA Play Season Pass"/>
    <tableColumn id="9" xr3:uid="{9E41A6E3-CDD6-44E7-BF64-7402DE2B63F6}" name="EA Play Season Pass_x000a_Price"/>
    <tableColumn id="10" xr3:uid="{726497F6-F9EB-46EF-86D8-30B0EC4F29A0}" name="Minecraft Season Pass"/>
    <tableColumn id="11" xr3:uid="{98778438-7700-40B3-96D5-54B5CF20573C}" name="Minecraft Season Pass Price"/>
    <tableColumn id="12" xr3:uid="{33828DA1-2187-43A7-AAF8-BDEFF0CBD40D}" name="Coupon Value"/>
    <tableColumn id="13" xr3:uid="{9D9A1A95-FD91-4F69-8FD8-90A24D5D0519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1" zoomScale="90" zoomScaleNormal="90" workbookViewId="0">
      <selection activeCell="O271" sqref="O27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8932-866C-4482-8BAE-0562FEEE896B}">
  <sheetPr>
    <tabColor theme="3" tint="0.749992370372631"/>
  </sheetPr>
  <dimension ref="A1:M27"/>
  <sheetViews>
    <sheetView workbookViewId="0">
      <selection activeCell="A3" sqref="A3:M27"/>
    </sheetView>
  </sheetViews>
  <sheetFormatPr defaultRowHeight="15" x14ac:dyDescent="0.25"/>
  <cols>
    <col min="1" max="1" width="15.5703125" bestFit="1" customWidth="1"/>
    <col min="2" max="2" width="18.710937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9" t="s">
        <v>322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>
        <v>3518</v>
      </c>
      <c r="B4" t="s">
        <v>301</v>
      </c>
      <c r="C4" t="s">
        <v>26</v>
      </c>
      <c r="D4" s="18">
        <v>45635</v>
      </c>
      <c r="E4" t="s">
        <v>19</v>
      </c>
      <c r="F4">
        <v>10</v>
      </c>
      <c r="G4" t="s">
        <v>27</v>
      </c>
      <c r="H4" t="s">
        <v>23</v>
      </c>
      <c r="I4" t="s">
        <v>311</v>
      </c>
      <c r="J4" t="s">
        <v>19</v>
      </c>
      <c r="K4">
        <v>20</v>
      </c>
      <c r="L4">
        <v>12</v>
      </c>
      <c r="M4">
        <v>18</v>
      </c>
    </row>
    <row r="5" spans="1:13" x14ac:dyDescent="0.25">
      <c r="A5">
        <v>3506</v>
      </c>
      <c r="B5" t="s">
        <v>292</v>
      </c>
      <c r="C5" t="s">
        <v>26</v>
      </c>
      <c r="D5" s="18">
        <v>45623</v>
      </c>
      <c r="E5" t="s">
        <v>19</v>
      </c>
      <c r="F5">
        <v>10</v>
      </c>
      <c r="G5" t="s">
        <v>27</v>
      </c>
      <c r="H5" t="s">
        <v>23</v>
      </c>
      <c r="I5" t="s">
        <v>311</v>
      </c>
      <c r="J5" t="s">
        <v>19</v>
      </c>
      <c r="K5">
        <v>20</v>
      </c>
      <c r="L5">
        <v>15</v>
      </c>
      <c r="M5">
        <v>15</v>
      </c>
    </row>
    <row r="6" spans="1:13" x14ac:dyDescent="0.25">
      <c r="A6">
        <v>3233</v>
      </c>
      <c r="B6" t="s">
        <v>25</v>
      </c>
      <c r="C6" t="s">
        <v>26</v>
      </c>
      <c r="D6" s="18">
        <v>45332</v>
      </c>
      <c r="E6" t="s">
        <v>19</v>
      </c>
      <c r="F6">
        <v>10</v>
      </c>
      <c r="G6" t="s">
        <v>27</v>
      </c>
      <c r="H6" t="s">
        <v>23</v>
      </c>
      <c r="I6" t="s">
        <v>311</v>
      </c>
      <c r="J6" t="s">
        <v>19</v>
      </c>
      <c r="K6">
        <v>20</v>
      </c>
      <c r="L6">
        <v>10</v>
      </c>
      <c r="M6">
        <v>20</v>
      </c>
    </row>
    <row r="7" spans="1:13" x14ac:dyDescent="0.25">
      <c r="A7">
        <v>3494</v>
      </c>
      <c r="B7" t="s">
        <v>281</v>
      </c>
      <c r="C7" t="s">
        <v>26</v>
      </c>
      <c r="D7" s="18">
        <v>45611</v>
      </c>
      <c r="E7" t="s">
        <v>19</v>
      </c>
      <c r="F7">
        <v>10</v>
      </c>
      <c r="G7" t="s">
        <v>27</v>
      </c>
      <c r="H7" t="s">
        <v>23</v>
      </c>
      <c r="I7" t="s">
        <v>311</v>
      </c>
      <c r="J7" t="s">
        <v>19</v>
      </c>
      <c r="K7">
        <v>20</v>
      </c>
      <c r="L7">
        <v>12</v>
      </c>
      <c r="M7">
        <v>18</v>
      </c>
    </row>
    <row r="8" spans="1:13" x14ac:dyDescent="0.25">
      <c r="A8">
        <v>3480</v>
      </c>
      <c r="B8" t="s">
        <v>267</v>
      </c>
      <c r="C8" t="s">
        <v>26</v>
      </c>
      <c r="D8" s="18">
        <v>45597</v>
      </c>
      <c r="E8" t="s">
        <v>19</v>
      </c>
      <c r="F8">
        <v>10</v>
      </c>
      <c r="G8" t="s">
        <v>27</v>
      </c>
      <c r="H8" t="s">
        <v>23</v>
      </c>
      <c r="I8" t="s">
        <v>311</v>
      </c>
      <c r="J8" t="s">
        <v>19</v>
      </c>
      <c r="K8">
        <v>20</v>
      </c>
      <c r="L8">
        <v>15</v>
      </c>
      <c r="M8">
        <v>15</v>
      </c>
    </row>
    <row r="9" spans="1:13" x14ac:dyDescent="0.25">
      <c r="A9">
        <v>3468</v>
      </c>
      <c r="B9" t="s">
        <v>256</v>
      </c>
      <c r="C9" t="s">
        <v>26</v>
      </c>
      <c r="D9" s="18">
        <v>45585</v>
      </c>
      <c r="E9" t="s">
        <v>19</v>
      </c>
      <c r="F9">
        <v>10</v>
      </c>
      <c r="G9" t="s">
        <v>27</v>
      </c>
      <c r="H9" t="s">
        <v>23</v>
      </c>
      <c r="I9" t="s">
        <v>311</v>
      </c>
      <c r="J9" t="s">
        <v>19</v>
      </c>
      <c r="K9">
        <v>20</v>
      </c>
      <c r="L9">
        <v>12</v>
      </c>
      <c r="M9">
        <v>18</v>
      </c>
    </row>
    <row r="10" spans="1:13" x14ac:dyDescent="0.25">
      <c r="A10">
        <v>3456</v>
      </c>
      <c r="B10" t="s">
        <v>245</v>
      </c>
      <c r="C10" t="s">
        <v>26</v>
      </c>
      <c r="D10" s="18">
        <v>45573</v>
      </c>
      <c r="E10" t="s">
        <v>19</v>
      </c>
      <c r="F10">
        <v>10</v>
      </c>
      <c r="G10" t="s">
        <v>27</v>
      </c>
      <c r="H10" t="s">
        <v>23</v>
      </c>
      <c r="I10" t="s">
        <v>311</v>
      </c>
      <c r="J10" t="s">
        <v>19</v>
      </c>
      <c r="K10">
        <v>20</v>
      </c>
      <c r="L10">
        <v>15</v>
      </c>
      <c r="M10">
        <v>15</v>
      </c>
    </row>
    <row r="11" spans="1:13" x14ac:dyDescent="0.25">
      <c r="A11">
        <v>3444</v>
      </c>
      <c r="B11" t="s">
        <v>236</v>
      </c>
      <c r="C11" t="s">
        <v>26</v>
      </c>
      <c r="D11" s="18">
        <v>45561</v>
      </c>
      <c r="E11" t="s">
        <v>19</v>
      </c>
      <c r="F11">
        <v>10</v>
      </c>
      <c r="G11" t="s">
        <v>27</v>
      </c>
      <c r="H11" t="s">
        <v>23</v>
      </c>
      <c r="I11" t="s">
        <v>311</v>
      </c>
      <c r="J11" t="s">
        <v>19</v>
      </c>
      <c r="K11">
        <v>20</v>
      </c>
      <c r="L11">
        <v>12</v>
      </c>
      <c r="M11">
        <v>18</v>
      </c>
    </row>
    <row r="12" spans="1:13" x14ac:dyDescent="0.25">
      <c r="A12">
        <v>3426</v>
      </c>
      <c r="B12" t="s">
        <v>196</v>
      </c>
      <c r="C12" t="s">
        <v>26</v>
      </c>
      <c r="D12" s="18">
        <v>45543</v>
      </c>
      <c r="E12" t="s">
        <v>19</v>
      </c>
      <c r="F12">
        <v>10</v>
      </c>
      <c r="G12" t="s">
        <v>27</v>
      </c>
      <c r="H12" t="s">
        <v>23</v>
      </c>
      <c r="I12" t="s">
        <v>311</v>
      </c>
      <c r="J12" t="s">
        <v>19</v>
      </c>
      <c r="K12">
        <v>20</v>
      </c>
      <c r="L12">
        <v>15</v>
      </c>
      <c r="M12">
        <v>15</v>
      </c>
    </row>
    <row r="13" spans="1:13" x14ac:dyDescent="0.25">
      <c r="A13">
        <v>3240</v>
      </c>
      <c r="B13" t="s">
        <v>38</v>
      </c>
      <c r="C13" t="s">
        <v>26</v>
      </c>
      <c r="D13" s="18">
        <v>45357</v>
      </c>
      <c r="E13" t="s">
        <v>19</v>
      </c>
      <c r="F13">
        <v>10</v>
      </c>
      <c r="G13" t="s">
        <v>27</v>
      </c>
      <c r="H13" t="s">
        <v>23</v>
      </c>
      <c r="I13" t="s">
        <v>311</v>
      </c>
      <c r="J13" t="s">
        <v>19</v>
      </c>
      <c r="K13">
        <v>20</v>
      </c>
      <c r="L13">
        <v>15</v>
      </c>
      <c r="M13">
        <v>15</v>
      </c>
    </row>
    <row r="14" spans="1:13" x14ac:dyDescent="0.25">
      <c r="A14">
        <v>3414</v>
      </c>
      <c r="B14" t="s">
        <v>209</v>
      </c>
      <c r="C14" t="s">
        <v>26</v>
      </c>
      <c r="D14" s="18">
        <v>45531</v>
      </c>
      <c r="E14" t="s">
        <v>19</v>
      </c>
      <c r="F14">
        <v>10</v>
      </c>
      <c r="G14" t="s">
        <v>27</v>
      </c>
      <c r="H14" t="s">
        <v>23</v>
      </c>
      <c r="I14" t="s">
        <v>311</v>
      </c>
      <c r="J14" t="s">
        <v>19</v>
      </c>
      <c r="K14">
        <v>20</v>
      </c>
      <c r="L14">
        <v>12</v>
      </c>
      <c r="M14">
        <v>18</v>
      </c>
    </row>
    <row r="15" spans="1:13" x14ac:dyDescent="0.25">
      <c r="A15">
        <v>3398</v>
      </c>
      <c r="B15" t="s">
        <v>193</v>
      </c>
      <c r="C15" t="s">
        <v>26</v>
      </c>
      <c r="D15" s="18">
        <v>45515</v>
      </c>
      <c r="E15" t="s">
        <v>19</v>
      </c>
      <c r="F15">
        <v>10</v>
      </c>
      <c r="G15" t="s">
        <v>27</v>
      </c>
      <c r="H15" t="s">
        <v>23</v>
      </c>
      <c r="I15" t="s">
        <v>311</v>
      </c>
      <c r="J15" t="s">
        <v>19</v>
      </c>
      <c r="K15">
        <v>20</v>
      </c>
      <c r="L15">
        <v>15</v>
      </c>
      <c r="M15">
        <v>15</v>
      </c>
    </row>
    <row r="16" spans="1:13" x14ac:dyDescent="0.25">
      <c r="A16">
        <v>3386</v>
      </c>
      <c r="B16" t="s">
        <v>183</v>
      </c>
      <c r="C16" t="s">
        <v>26</v>
      </c>
      <c r="D16" s="18">
        <v>45503</v>
      </c>
      <c r="E16" t="s">
        <v>19</v>
      </c>
      <c r="F16">
        <v>10</v>
      </c>
      <c r="G16" t="s">
        <v>27</v>
      </c>
      <c r="H16" t="s">
        <v>23</v>
      </c>
      <c r="I16" t="s">
        <v>311</v>
      </c>
      <c r="J16" t="s">
        <v>19</v>
      </c>
      <c r="K16">
        <v>20</v>
      </c>
      <c r="L16">
        <v>15</v>
      </c>
      <c r="M16">
        <v>15</v>
      </c>
    </row>
    <row r="17" spans="1:13" x14ac:dyDescent="0.25">
      <c r="A17">
        <v>3374</v>
      </c>
      <c r="B17" t="s">
        <v>171</v>
      </c>
      <c r="C17" t="s">
        <v>26</v>
      </c>
      <c r="D17" s="18">
        <v>45491</v>
      </c>
      <c r="E17" t="s">
        <v>19</v>
      </c>
      <c r="F17">
        <v>10</v>
      </c>
      <c r="G17" t="s">
        <v>27</v>
      </c>
      <c r="H17" t="s">
        <v>23</v>
      </c>
      <c r="I17" t="s">
        <v>311</v>
      </c>
      <c r="J17" t="s">
        <v>19</v>
      </c>
      <c r="K17">
        <v>20</v>
      </c>
      <c r="L17">
        <v>12</v>
      </c>
      <c r="M17">
        <v>18</v>
      </c>
    </row>
    <row r="18" spans="1:13" x14ac:dyDescent="0.25">
      <c r="A18">
        <v>3356</v>
      </c>
      <c r="B18" t="s">
        <v>153</v>
      </c>
      <c r="C18" t="s">
        <v>26</v>
      </c>
      <c r="D18" s="18">
        <v>45473</v>
      </c>
      <c r="E18" t="s">
        <v>19</v>
      </c>
      <c r="F18">
        <v>10</v>
      </c>
      <c r="G18" t="s">
        <v>27</v>
      </c>
      <c r="H18" t="s">
        <v>23</v>
      </c>
      <c r="I18" t="s">
        <v>311</v>
      </c>
      <c r="J18" t="s">
        <v>19</v>
      </c>
      <c r="K18">
        <v>20</v>
      </c>
      <c r="L18">
        <v>15</v>
      </c>
      <c r="M18">
        <v>15</v>
      </c>
    </row>
    <row r="19" spans="1:13" x14ac:dyDescent="0.25">
      <c r="A19">
        <v>3344</v>
      </c>
      <c r="B19" t="s">
        <v>142</v>
      </c>
      <c r="C19" t="s">
        <v>26</v>
      </c>
      <c r="D19" s="18">
        <v>45461</v>
      </c>
      <c r="E19" t="s">
        <v>19</v>
      </c>
      <c r="F19">
        <v>10</v>
      </c>
      <c r="G19" t="s">
        <v>27</v>
      </c>
      <c r="H19" t="s">
        <v>23</v>
      </c>
      <c r="I19" t="s">
        <v>311</v>
      </c>
      <c r="J19" t="s">
        <v>19</v>
      </c>
      <c r="K19">
        <v>20</v>
      </c>
      <c r="L19">
        <v>12</v>
      </c>
      <c r="M19">
        <v>18</v>
      </c>
    </row>
    <row r="20" spans="1:13" x14ac:dyDescent="0.25">
      <c r="A20">
        <v>3334</v>
      </c>
      <c r="B20" t="s">
        <v>132</v>
      </c>
      <c r="C20" t="s">
        <v>26</v>
      </c>
      <c r="D20" s="18">
        <v>45451</v>
      </c>
      <c r="E20" t="s">
        <v>23</v>
      </c>
      <c r="F20">
        <v>10</v>
      </c>
      <c r="G20" t="s">
        <v>27</v>
      </c>
      <c r="H20" t="s">
        <v>23</v>
      </c>
      <c r="I20" t="s">
        <v>311</v>
      </c>
      <c r="J20" t="s">
        <v>19</v>
      </c>
      <c r="K20">
        <v>20</v>
      </c>
      <c r="L20">
        <v>12</v>
      </c>
      <c r="M20">
        <v>18</v>
      </c>
    </row>
    <row r="21" spans="1:13" x14ac:dyDescent="0.25">
      <c r="A21">
        <v>3325</v>
      </c>
      <c r="B21" t="s">
        <v>123</v>
      </c>
      <c r="C21" t="s">
        <v>26</v>
      </c>
      <c r="D21" s="18">
        <v>45442</v>
      </c>
      <c r="E21" t="s">
        <v>19</v>
      </c>
      <c r="F21">
        <v>10</v>
      </c>
      <c r="G21" t="s">
        <v>27</v>
      </c>
      <c r="H21" t="s">
        <v>23</v>
      </c>
      <c r="I21" t="s">
        <v>311</v>
      </c>
      <c r="J21" t="s">
        <v>19</v>
      </c>
      <c r="K21">
        <v>20</v>
      </c>
      <c r="L21">
        <v>15</v>
      </c>
      <c r="M21">
        <v>15</v>
      </c>
    </row>
    <row r="22" spans="1:13" x14ac:dyDescent="0.25">
      <c r="A22">
        <v>3316</v>
      </c>
      <c r="B22" t="s">
        <v>114</v>
      </c>
      <c r="C22" t="s">
        <v>26</v>
      </c>
      <c r="D22" s="18">
        <v>45433</v>
      </c>
      <c r="E22" t="s">
        <v>23</v>
      </c>
      <c r="F22">
        <v>10</v>
      </c>
      <c r="G22" t="s">
        <v>27</v>
      </c>
      <c r="H22" t="s">
        <v>23</v>
      </c>
      <c r="I22" t="s">
        <v>311</v>
      </c>
      <c r="J22" t="s">
        <v>19</v>
      </c>
      <c r="K22">
        <v>20</v>
      </c>
      <c r="L22">
        <v>15</v>
      </c>
      <c r="M22">
        <v>15</v>
      </c>
    </row>
    <row r="23" spans="1:13" x14ac:dyDescent="0.25">
      <c r="A23">
        <v>3304</v>
      </c>
      <c r="B23" t="s">
        <v>102</v>
      </c>
      <c r="C23" t="s">
        <v>26</v>
      </c>
      <c r="D23" s="18">
        <v>45421</v>
      </c>
      <c r="E23" t="s">
        <v>23</v>
      </c>
      <c r="F23">
        <v>10</v>
      </c>
      <c r="G23" t="s">
        <v>27</v>
      </c>
      <c r="H23" t="s">
        <v>23</v>
      </c>
      <c r="I23" t="s">
        <v>311</v>
      </c>
      <c r="J23" t="s">
        <v>19</v>
      </c>
      <c r="K23">
        <v>20</v>
      </c>
      <c r="L23">
        <v>12</v>
      </c>
      <c r="M23">
        <v>18</v>
      </c>
    </row>
    <row r="24" spans="1:13" x14ac:dyDescent="0.25">
      <c r="A24">
        <v>3286</v>
      </c>
      <c r="B24" t="s">
        <v>84</v>
      </c>
      <c r="C24" t="s">
        <v>26</v>
      </c>
      <c r="D24" s="18">
        <v>45403</v>
      </c>
      <c r="E24" t="s">
        <v>19</v>
      </c>
      <c r="F24">
        <v>10</v>
      </c>
      <c r="G24" t="s">
        <v>27</v>
      </c>
      <c r="H24" t="s">
        <v>23</v>
      </c>
      <c r="I24" t="s">
        <v>311</v>
      </c>
      <c r="J24" t="s">
        <v>19</v>
      </c>
      <c r="K24">
        <v>20</v>
      </c>
      <c r="L24">
        <v>15</v>
      </c>
      <c r="M24">
        <v>15</v>
      </c>
    </row>
    <row r="25" spans="1:13" x14ac:dyDescent="0.25">
      <c r="A25">
        <v>3252</v>
      </c>
      <c r="B25" t="s">
        <v>50</v>
      </c>
      <c r="C25" t="s">
        <v>26</v>
      </c>
      <c r="D25" s="18">
        <v>45369</v>
      </c>
      <c r="E25" t="s">
        <v>19</v>
      </c>
      <c r="F25">
        <v>10</v>
      </c>
      <c r="G25" t="s">
        <v>27</v>
      </c>
      <c r="H25" t="s">
        <v>23</v>
      </c>
      <c r="I25" t="s">
        <v>311</v>
      </c>
      <c r="J25" t="s">
        <v>19</v>
      </c>
      <c r="K25">
        <v>20</v>
      </c>
      <c r="L25">
        <v>15</v>
      </c>
      <c r="M25">
        <v>15</v>
      </c>
    </row>
    <row r="26" spans="1:13" x14ac:dyDescent="0.25">
      <c r="A26">
        <v>3274</v>
      </c>
      <c r="B26" t="s">
        <v>72</v>
      </c>
      <c r="C26" t="s">
        <v>26</v>
      </c>
      <c r="D26" s="18">
        <v>45391</v>
      </c>
      <c r="E26" t="s">
        <v>19</v>
      </c>
      <c r="F26">
        <v>10</v>
      </c>
      <c r="G26" t="s">
        <v>27</v>
      </c>
      <c r="H26" t="s">
        <v>23</v>
      </c>
      <c r="I26" t="s">
        <v>311</v>
      </c>
      <c r="J26" t="s">
        <v>19</v>
      </c>
      <c r="K26">
        <v>20</v>
      </c>
      <c r="L26">
        <v>12</v>
      </c>
      <c r="M26">
        <v>18</v>
      </c>
    </row>
    <row r="27" spans="1:13" x14ac:dyDescent="0.25">
      <c r="A27">
        <v>3264</v>
      </c>
      <c r="B27" t="s">
        <v>62</v>
      </c>
      <c r="C27" t="s">
        <v>26</v>
      </c>
      <c r="D27" s="18">
        <v>45381</v>
      </c>
      <c r="E27" t="s">
        <v>19</v>
      </c>
      <c r="F27">
        <v>10</v>
      </c>
      <c r="G27" t="s">
        <v>27</v>
      </c>
      <c r="H27" t="s">
        <v>23</v>
      </c>
      <c r="I27" t="s">
        <v>311</v>
      </c>
      <c r="J27" t="s">
        <v>19</v>
      </c>
      <c r="K27">
        <v>20</v>
      </c>
      <c r="L27">
        <v>15</v>
      </c>
      <c r="M27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8"/>
  <sheetViews>
    <sheetView showGridLines="0" topLeftCell="A10" workbookViewId="0">
      <selection activeCell="E39" sqref="E39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313</v>
      </c>
    </row>
    <row r="7" spans="2:3" x14ac:dyDescent="0.25">
      <c r="B7" t="s">
        <v>317</v>
      </c>
    </row>
    <row r="10" spans="2:3" x14ac:dyDescent="0.25">
      <c r="B10" s="12" t="s">
        <v>16</v>
      </c>
      <c r="C10" t="s">
        <v>24</v>
      </c>
    </row>
    <row r="12" spans="2:3" x14ac:dyDescent="0.25">
      <c r="B12" s="12" t="s">
        <v>314</v>
      </c>
      <c r="C12" t="s">
        <v>316</v>
      </c>
    </row>
    <row r="13" spans="2:3" x14ac:dyDescent="0.25">
      <c r="B13" s="13" t="s">
        <v>23</v>
      </c>
      <c r="C13" s="14">
        <v>217</v>
      </c>
    </row>
    <row r="14" spans="2:3" x14ac:dyDescent="0.25">
      <c r="B14" s="13" t="s">
        <v>19</v>
      </c>
      <c r="C14" s="14">
        <v>1537</v>
      </c>
    </row>
    <row r="15" spans="2:3" x14ac:dyDescent="0.25">
      <c r="B15" s="13" t="s">
        <v>315</v>
      </c>
      <c r="C15" s="14">
        <v>1754</v>
      </c>
    </row>
    <row r="19" spans="2:5" x14ac:dyDescent="0.25">
      <c r="B19" t="s">
        <v>319</v>
      </c>
    </row>
    <row r="21" spans="2:5" x14ac:dyDescent="0.25">
      <c r="B21" s="12" t="s">
        <v>16</v>
      </c>
      <c r="C21" t="s">
        <v>24</v>
      </c>
    </row>
    <row r="23" spans="2:5" x14ac:dyDescent="0.25">
      <c r="B23" s="12" t="s">
        <v>314</v>
      </c>
      <c r="C23" t="s">
        <v>320</v>
      </c>
    </row>
    <row r="24" spans="2:5" x14ac:dyDescent="0.25">
      <c r="B24" s="13" t="s">
        <v>22</v>
      </c>
      <c r="C24" s="16">
        <v>0</v>
      </c>
    </row>
    <row r="25" spans="2:5" x14ac:dyDescent="0.25">
      <c r="B25" s="13" t="s">
        <v>26</v>
      </c>
      <c r="C25" s="16">
        <v>0</v>
      </c>
    </row>
    <row r="26" spans="2:5" x14ac:dyDescent="0.25">
      <c r="B26" s="13" t="s">
        <v>18</v>
      </c>
      <c r="C26" s="16">
        <v>600</v>
      </c>
      <c r="E26" s="17">
        <f>GETPIVOTDATA("EA Play Season Pass
Price",$B$23)</f>
        <v>600</v>
      </c>
    </row>
    <row r="27" spans="2:5" x14ac:dyDescent="0.25">
      <c r="B27" s="13" t="s">
        <v>315</v>
      </c>
      <c r="C27" s="16">
        <v>600</v>
      </c>
    </row>
    <row r="30" spans="2:5" x14ac:dyDescent="0.25">
      <c r="B30" t="s">
        <v>321</v>
      </c>
    </row>
    <row r="32" spans="2:5" x14ac:dyDescent="0.25">
      <c r="B32" s="12" t="s">
        <v>16</v>
      </c>
      <c r="C32" t="s">
        <v>24</v>
      </c>
    </row>
    <row r="34" spans="2:5" x14ac:dyDescent="0.25">
      <c r="B34" s="12" t="s">
        <v>314</v>
      </c>
      <c r="C34" t="s">
        <v>323</v>
      </c>
    </row>
    <row r="35" spans="2:5" x14ac:dyDescent="0.25">
      <c r="B35" s="13" t="s">
        <v>22</v>
      </c>
      <c r="C35" s="14">
        <v>0</v>
      </c>
    </row>
    <row r="36" spans="2:5" x14ac:dyDescent="0.25">
      <c r="B36" s="13" t="s">
        <v>26</v>
      </c>
      <c r="C36" s="14">
        <v>540</v>
      </c>
    </row>
    <row r="37" spans="2:5" x14ac:dyDescent="0.25">
      <c r="B37" s="13" t="s">
        <v>18</v>
      </c>
      <c r="C37" s="14">
        <v>400</v>
      </c>
    </row>
    <row r="38" spans="2:5" x14ac:dyDescent="0.25">
      <c r="B38" s="13" t="s">
        <v>315</v>
      </c>
      <c r="C38" s="14">
        <v>940</v>
      </c>
      <c r="E38" s="17">
        <f>GETPIVOTDATA("Minecraft Season Pass Price",$B$34)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80" zoomScaleNormal="80" workbookViewId="0">
      <selection activeCell="U26" sqref="U26"/>
    </sheetView>
  </sheetViews>
  <sheetFormatPr defaultRowHeight="15" x14ac:dyDescent="0.25"/>
  <cols>
    <col min="1" max="1" width="29.7109375" style="4" customWidth="1"/>
    <col min="2" max="2" width="3.5703125" customWidth="1"/>
    <col min="12" max="12" width="6.5703125" customWidth="1"/>
  </cols>
  <sheetData>
    <row r="2" spans="1:19" ht="39" customHeight="1" thickBot="1" x14ac:dyDescent="0.5">
      <c r="B2" s="15"/>
      <c r="C2" s="23" t="s">
        <v>318</v>
      </c>
      <c r="D2" s="22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1"/>
    </row>
    <row r="3" spans="1:19" ht="39" customHeight="1" thickTop="1" x14ac:dyDescent="0.25"/>
    <row r="4" spans="1:19" s="7" customFormat="1" ht="8.25" customHeight="1" x14ac:dyDescent="0.3">
      <c r="A4" s="4"/>
      <c r="C4" s="24"/>
      <c r="D4" s="24"/>
      <c r="E4" s="24"/>
      <c r="F4" s="24"/>
      <c r="G4" s="24"/>
      <c r="H4" s="24"/>
      <c r="I4" s="24"/>
      <c r="J4" s="2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33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honeticPr fontId="6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Russi</cp:lastModifiedBy>
  <dcterms:created xsi:type="dcterms:W3CDTF">2024-12-19T13:13:10Z</dcterms:created>
  <dcterms:modified xsi:type="dcterms:W3CDTF">2025-12-24T19:22:34Z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